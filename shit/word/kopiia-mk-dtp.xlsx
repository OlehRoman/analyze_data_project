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24226"/>
  <xr:revisionPtr revIDLastSave="0" documentId="8_{3F79000C-22FB-4505-8145-5C8C5BDBAA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МКДТП" sheetId="3" r:id="rId1"/>
  </sheets>
  <definedNames>
    <definedName name="_xlnm.Print_Area" localSheetId="0">МКДТП!$A$1:$E$44</definedName>
  </definedNames>
  <calcPr calcId="181029"/>
</workbook>
</file>

<file path=xl/calcChain.xml><?xml version="1.0" encoding="utf-8"?>
<calcChain xmlns="http://schemas.openxmlformats.org/spreadsheetml/2006/main">
  <c r="A44" i="3" l="1"/>
  <c r="C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41" authorId="0" shapeId="0" xr:uid="{42983AB1-ECE2-40F0-BBF1-E1ADDFED0198}">
      <text>
        <r>
          <rPr>
            <b/>
            <sz val="9"/>
            <color indexed="81"/>
            <rFont val="Tahoma"/>
            <charset val="1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<sst xmlns="http://schemas.openxmlformats.org/spreadsheetml/2006/main" count="130" uniqueCount="119">
  <si>
    <t>Область</t>
  </si>
  <si>
    <t>Всього</t>
  </si>
  <si>
    <t>Житомирська</t>
  </si>
  <si>
    <t>Закарпатська</t>
  </si>
  <si>
    <t>Івано-Франківська</t>
  </si>
  <si>
    <t>Київська</t>
  </si>
  <si>
    <t>Кіровоградська</t>
  </si>
  <si>
    <t>Львівська</t>
  </si>
  <si>
    <t>Рівненська</t>
  </si>
  <si>
    <t>Хмельницька</t>
  </si>
  <si>
    <t>Черкаська</t>
  </si>
  <si>
    <t>Чернігівська</t>
  </si>
  <si>
    <t>773+700</t>
  </si>
  <si>
    <t>М-07 Київ - Ковель - Ягодин (на м. Люблін)</t>
  </si>
  <si>
    <t>Н-22 Устилуг - Луцьк - Рівне</t>
  </si>
  <si>
    <t>М-06 Київ - Чоп (на м. Будапешт через мм. Львів, Мукачево і Ужгород)</t>
  </si>
  <si>
    <t>Н-10 Стрий - Івано-Франківськ - Чернівці - Мамалига (на м. Кишинів)</t>
  </si>
  <si>
    <t>М-05 Київ - Одеса</t>
  </si>
  <si>
    <t>М-14 Одеса - Мелітополь - Новоазовськ (на м. Таганрог)</t>
  </si>
  <si>
    <t>Н-25 Городище - Рівне - Старокостянтинів</t>
  </si>
  <si>
    <t>Н-03 Житомир - Чернівці</t>
  </si>
  <si>
    <t>Н-16 Золотоноша - Черкаси - Сміла - Умань</t>
  </si>
  <si>
    <t>Н-27 Чернігів - Мена - Сосниця - Грем’яч</t>
  </si>
  <si>
    <t>Вінницька</t>
  </si>
  <si>
    <t>Волинська</t>
  </si>
  <si>
    <t>Одеська</t>
  </si>
  <si>
    <t>Ч. ч.</t>
  </si>
  <si>
    <t>Автомобільна дорога</t>
  </si>
  <si>
    <t>Початок ділянки КМ+м</t>
  </si>
  <si>
    <t>Кінець ділянки КМ+м</t>
  </si>
  <si>
    <t>405+900</t>
  </si>
  <si>
    <t>444+600</t>
  </si>
  <si>
    <t>445+200</t>
  </si>
  <si>
    <t xml:space="preserve">Дніпропетровська </t>
  </si>
  <si>
    <t>Т-04-01 Дніпро - Васильківка - Покровське - Гуляйполе - Пологи - Мелітополь</t>
  </si>
  <si>
    <t>22+500</t>
  </si>
  <si>
    <t>23+100</t>
  </si>
  <si>
    <t>М - 06 Київ - Чоп (на м. Будапешт через мм. Львів, Мукачево і Ужгород)</t>
  </si>
  <si>
    <t>230+000</t>
  </si>
  <si>
    <t>230+400</t>
  </si>
  <si>
    <t>М - 21 Виступовичі - Житомир - Могилів-Подільський (через м. Вінницю)</t>
  </si>
  <si>
    <t>187+000</t>
  </si>
  <si>
    <t>188+000</t>
  </si>
  <si>
    <t>774+260</t>
  </si>
  <si>
    <t>Р-69 Київ - Вишгород - Десна - Чернігів</t>
  </si>
  <si>
    <t>28+000</t>
  </si>
  <si>
    <t>28+400</t>
  </si>
  <si>
    <t>20+900</t>
  </si>
  <si>
    <t>21+300</t>
  </si>
  <si>
    <t>255+360</t>
  </si>
  <si>
    <t>256+050</t>
  </si>
  <si>
    <t>529+000 (529+800)</t>
  </si>
  <si>
    <t>530+700 (530+000)</t>
  </si>
  <si>
    <t>541+460</t>
  </si>
  <si>
    <t>542+852</t>
  </si>
  <si>
    <t>551+030  (550+610)</t>
  </si>
  <si>
    <t>553+930 (552+510)</t>
  </si>
  <si>
    <t>685+342</t>
  </si>
  <si>
    <t>686+122</t>
  </si>
  <si>
    <t>362+600</t>
  </si>
  <si>
    <t>363+700</t>
  </si>
  <si>
    <t>22+000</t>
  </si>
  <si>
    <t>М-28 Одеса - Южний - /М-14/ з під’їздами</t>
  </si>
  <si>
    <t>47+000</t>
  </si>
  <si>
    <t>47+999</t>
  </si>
  <si>
    <t>331+800</t>
  </si>
  <si>
    <t>332+300</t>
  </si>
  <si>
    <t>325+720</t>
  </si>
  <si>
    <t>326+240</t>
  </si>
  <si>
    <t>339+640</t>
  </si>
  <si>
    <t>340+310</t>
  </si>
  <si>
    <t>347+865</t>
  </si>
  <si>
    <t>348+100</t>
  </si>
  <si>
    <t>375+270</t>
  </si>
  <si>
    <t>375+700</t>
  </si>
  <si>
    <t>396+000</t>
  </si>
  <si>
    <t>140+250</t>
  </si>
  <si>
    <t>141+250</t>
  </si>
  <si>
    <t>66+820</t>
  </si>
  <si>
    <t>68+090</t>
  </si>
  <si>
    <t>5+900</t>
  </si>
  <si>
    <t>6+500</t>
  </si>
  <si>
    <t>11+500</t>
  </si>
  <si>
    <t>12+100</t>
  </si>
  <si>
    <t>39+760</t>
  </si>
  <si>
    <t>М-02 Кіпті - Глухів - Бачівськ (на м. Брянськ)</t>
  </si>
  <si>
    <t>92+000</t>
  </si>
  <si>
    <t>92+600</t>
  </si>
  <si>
    <t>151+000</t>
  </si>
  <si>
    <t>151+850</t>
  </si>
  <si>
    <t>Р-39 Обхід м. Тернополя</t>
  </si>
  <si>
    <t>19+700</t>
  </si>
  <si>
    <t>20+500</t>
  </si>
  <si>
    <t>Р-56 Чернігів - Пакуль - контрольно-пропускний пункт “Славутич” - Чорнобиль (з під’їздом до м. Славутича)</t>
  </si>
  <si>
    <t>6+800</t>
  </si>
  <si>
    <t>7+300</t>
  </si>
  <si>
    <t>534+080</t>
  </si>
  <si>
    <t>534+580</t>
  </si>
  <si>
    <t>264+950</t>
  </si>
  <si>
    <t>265+050</t>
  </si>
  <si>
    <t>329+000</t>
  </si>
  <si>
    <t>329+600</t>
  </si>
  <si>
    <t>Н-24</t>
  </si>
  <si>
    <t>5+220</t>
  </si>
  <si>
    <t>5+350</t>
  </si>
  <si>
    <t>М-30 Стрий - Умань - Дніпро - Ізварине (через мм Вінниця, Кропивницький)</t>
  </si>
  <si>
    <t>404+500</t>
  </si>
  <si>
    <t>134+190</t>
  </si>
  <si>
    <t>134+540</t>
  </si>
  <si>
    <t>М-15 Одеса - Рені (на м. Бухарест)</t>
  </si>
  <si>
    <t>180+010</t>
  </si>
  <si>
    <t>180+300</t>
  </si>
  <si>
    <t>Тернопільска</t>
  </si>
  <si>
    <t>205+850</t>
  </si>
  <si>
    <t>207+150</t>
  </si>
  <si>
    <t>М-30 Стрий – Умань – Дніпро – Ізварине (через мм. Вінницю, Кропивницький)</t>
  </si>
  <si>
    <t>9+850</t>
  </si>
  <si>
    <t>10+400</t>
  </si>
  <si>
    <t>Перелік 
 місць концентрації дорожньо-транспортних пригод на автомобільних дорогах загального користування державного значення, які перебувають на обліку  станом на 01.08.2022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</si>
</sst>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₴_-;\-* #,##0.00\ _₴_-;_-* &quot;-&quot;??\ _₴_-;_-@_-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7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3">
    <cellStyle name="Excel Built-in Normal" xfId="1" xr:uid="{00000000-0005-0000-0000-000000000000}"/>
    <cellStyle name="Звичайний" xfId="0" builtinId="0"/>
    <cellStyle name="Фінансовий 2" xfId="2" xr:uid="{6FFE2A64-3B6D-48ED-B60E-788B8E6C79BC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DA9F-22F3-490E-B21F-0A2AA930A53E}">
  <sheetPr>
    <pageSetUpPr fitToPage="1"/>
  </sheetPr>
  <dimension ref="A1:H47"/>
  <sheetViews>
    <sheetView tabSelected="1" view="pageBreakPreview" zoomScaleNormal="100" zoomScaleSheetLayoutView="100" workbookViewId="0">
      <selection activeCell="D35" sqref="D35"/>
    </sheetView>
  </sheetViews>
  <sheetFormatPr defaultRowHeight="18.75" x14ac:dyDescent="0.25"/>
  <cols>
    <col min="1" max="1" width="6.85546875" style="1" bestFit="1" customWidth="1"/>
    <col min="2" max="2" width="20.42578125" style="29" bestFit="1" customWidth="1"/>
    <col min="3" max="3" width="119" style="8" bestFit="1" customWidth="1"/>
    <col min="4" max="4" width="29" style="34" bestFit="1" customWidth="1"/>
    <col min="5" max="5" width="26.85546875" style="34" bestFit="1" customWidth="1"/>
    <col min="6" max="16384" width="9.140625" style="1"/>
  </cols>
  <sheetData>
    <row r="1" spans="1:5" ht="54.75" customHeight="1" x14ac:dyDescent="0.25">
      <c r="A1" s="41" t="s">
        <v>118</v>
      </c>
      <c r="B1" s="42"/>
      <c r="C1" s="42"/>
      <c r="D1" s="42"/>
      <c r="E1" s="42"/>
    </row>
    <row r="2" spans="1:5" s="3" customFormat="1" x14ac:dyDescent="0.25">
      <c r="A2" s="2" t="s">
        <v>26</v>
      </c>
      <c r="B2" s="24" t="s">
        <v>0</v>
      </c>
      <c r="C2" s="36" t="s">
        <v>27</v>
      </c>
      <c r="D2" s="30" t="s">
        <v>28</v>
      </c>
      <c r="E2" s="30" t="s">
        <v>29</v>
      </c>
    </row>
    <row r="3" spans="1:5" x14ac:dyDescent="0.25">
      <c r="A3" s="14"/>
      <c r="B3" s="25" t="s">
        <v>1</v>
      </c>
      <c r="C3" s="4">
        <f>A44</f>
        <v>39</v>
      </c>
      <c r="D3" s="31"/>
      <c r="E3" s="32"/>
    </row>
    <row r="4" spans="1:5" x14ac:dyDescent="0.25">
      <c r="A4" s="6">
        <v>1</v>
      </c>
      <c r="B4" s="26" t="s">
        <v>23</v>
      </c>
      <c r="C4" s="20" t="s">
        <v>105</v>
      </c>
      <c r="D4" s="21" t="s">
        <v>106</v>
      </c>
      <c r="E4" s="21" t="s">
        <v>30</v>
      </c>
    </row>
    <row r="5" spans="1:5" x14ac:dyDescent="0.25">
      <c r="A5" s="15">
        <v>1</v>
      </c>
      <c r="B5" s="27" t="s">
        <v>24</v>
      </c>
      <c r="C5" s="16" t="s">
        <v>13</v>
      </c>
      <c r="D5" s="9" t="s">
        <v>31</v>
      </c>
      <c r="E5" s="9" t="s">
        <v>32</v>
      </c>
    </row>
    <row r="6" spans="1:5" ht="37.5" x14ac:dyDescent="0.25">
      <c r="A6" s="15">
        <v>1</v>
      </c>
      <c r="B6" s="26" t="s">
        <v>33</v>
      </c>
      <c r="C6" s="20" t="s">
        <v>34</v>
      </c>
      <c r="D6" s="21" t="s">
        <v>35</v>
      </c>
      <c r="E6" s="21" t="s">
        <v>36</v>
      </c>
    </row>
    <row r="7" spans="1:5" ht="15.75" x14ac:dyDescent="0.25">
      <c r="A7" s="15">
        <v>1</v>
      </c>
      <c r="B7" s="43" t="s">
        <v>2</v>
      </c>
      <c r="C7" s="20" t="s">
        <v>13</v>
      </c>
      <c r="D7" s="21" t="s">
        <v>88</v>
      </c>
      <c r="E7" s="21" t="s">
        <v>89</v>
      </c>
    </row>
    <row r="8" spans="1:5" ht="15.75" x14ac:dyDescent="0.25">
      <c r="A8" s="6">
        <v>2</v>
      </c>
      <c r="B8" s="43"/>
      <c r="C8" s="20" t="s">
        <v>37</v>
      </c>
      <c r="D8" s="21" t="s">
        <v>38</v>
      </c>
      <c r="E8" s="21" t="s">
        <v>39</v>
      </c>
    </row>
    <row r="9" spans="1:5" ht="15.75" x14ac:dyDescent="0.25">
      <c r="A9" s="6">
        <v>3</v>
      </c>
      <c r="B9" s="43"/>
      <c r="C9" s="20" t="s">
        <v>40</v>
      </c>
      <c r="D9" s="21" t="s">
        <v>41</v>
      </c>
      <c r="E9" s="21" t="s">
        <v>42</v>
      </c>
    </row>
    <row r="10" spans="1:5" x14ac:dyDescent="0.25">
      <c r="A10" s="15">
        <v>1</v>
      </c>
      <c r="B10" s="26" t="s">
        <v>3</v>
      </c>
      <c r="C10" s="20" t="s">
        <v>15</v>
      </c>
      <c r="D10" s="21" t="s">
        <v>12</v>
      </c>
      <c r="E10" s="21" t="s">
        <v>43</v>
      </c>
    </row>
    <row r="11" spans="1:5" ht="37.5" x14ac:dyDescent="0.25">
      <c r="A11" s="15">
        <v>1</v>
      </c>
      <c r="B11" s="26" t="s">
        <v>4</v>
      </c>
      <c r="C11" s="20" t="s">
        <v>16</v>
      </c>
      <c r="D11" s="21" t="s">
        <v>107</v>
      </c>
      <c r="E11" s="21" t="s">
        <v>108</v>
      </c>
    </row>
    <row r="12" spans="1:5" ht="15.75" x14ac:dyDescent="0.25">
      <c r="A12" s="15">
        <v>1</v>
      </c>
      <c r="B12" s="43" t="s">
        <v>5</v>
      </c>
      <c r="C12" s="20" t="s">
        <v>44</v>
      </c>
      <c r="D12" s="21" t="s">
        <v>45</v>
      </c>
      <c r="E12" s="21" t="s">
        <v>46</v>
      </c>
    </row>
    <row r="13" spans="1:5" ht="15.75" x14ac:dyDescent="0.25">
      <c r="A13" s="15">
        <v>2</v>
      </c>
      <c r="B13" s="43"/>
      <c r="C13" s="20" t="s">
        <v>15</v>
      </c>
      <c r="D13" s="21" t="s">
        <v>47</v>
      </c>
      <c r="E13" s="21" t="s">
        <v>48</v>
      </c>
    </row>
    <row r="14" spans="1:5" ht="15.75" x14ac:dyDescent="0.25">
      <c r="A14" s="15">
        <v>1</v>
      </c>
      <c r="B14" s="44" t="s">
        <v>6</v>
      </c>
      <c r="C14" s="20" t="s">
        <v>102</v>
      </c>
      <c r="D14" s="21" t="s">
        <v>103</v>
      </c>
      <c r="E14" s="21" t="s">
        <v>104</v>
      </c>
    </row>
    <row r="15" spans="1:5" ht="15.75" x14ac:dyDescent="0.25">
      <c r="A15" s="15">
        <v>2</v>
      </c>
      <c r="B15" s="45"/>
      <c r="C15" s="13" t="s">
        <v>17</v>
      </c>
      <c r="D15" s="9" t="s">
        <v>49</v>
      </c>
      <c r="E15" s="9" t="s">
        <v>50</v>
      </c>
    </row>
    <row r="16" spans="1:5" ht="15.75" x14ac:dyDescent="0.25">
      <c r="A16" s="15">
        <v>1</v>
      </c>
      <c r="B16" s="48" t="s">
        <v>7</v>
      </c>
      <c r="C16" s="50" t="s">
        <v>15</v>
      </c>
      <c r="D16" s="21" t="s">
        <v>51</v>
      </c>
      <c r="E16" s="21" t="s">
        <v>52</v>
      </c>
    </row>
    <row r="17" spans="1:8" ht="15.75" x14ac:dyDescent="0.25">
      <c r="A17" s="15">
        <v>2</v>
      </c>
      <c r="B17" s="48"/>
      <c r="C17" s="51"/>
      <c r="D17" s="21" t="s">
        <v>53</v>
      </c>
      <c r="E17" s="21" t="s">
        <v>54</v>
      </c>
    </row>
    <row r="18" spans="1:8" ht="15.75" x14ac:dyDescent="0.25">
      <c r="A18" s="15">
        <v>3</v>
      </c>
      <c r="B18" s="48"/>
      <c r="C18" s="51"/>
      <c r="D18" s="21" t="s">
        <v>55</v>
      </c>
      <c r="E18" s="21" t="s">
        <v>56</v>
      </c>
    </row>
    <row r="19" spans="1:8" ht="15.75" x14ac:dyDescent="0.25">
      <c r="A19" s="15">
        <v>4</v>
      </c>
      <c r="B19" s="49"/>
      <c r="C19" s="52"/>
      <c r="D19" s="21" t="s">
        <v>57</v>
      </c>
      <c r="E19" s="21" t="s">
        <v>58</v>
      </c>
    </row>
    <row r="20" spans="1:8" ht="15.75" x14ac:dyDescent="0.25">
      <c r="A20" s="15">
        <v>1</v>
      </c>
      <c r="B20" s="43" t="s">
        <v>25</v>
      </c>
      <c r="C20" s="20" t="s">
        <v>17</v>
      </c>
      <c r="D20" s="21" t="s">
        <v>59</v>
      </c>
      <c r="E20" s="21" t="s">
        <v>60</v>
      </c>
      <c r="F20" s="5"/>
    </row>
    <row r="21" spans="1:8" ht="15.75" x14ac:dyDescent="0.25">
      <c r="A21" s="15">
        <v>2</v>
      </c>
      <c r="B21" s="43"/>
      <c r="C21" s="20" t="s">
        <v>18</v>
      </c>
      <c r="D21" s="21" t="s">
        <v>61</v>
      </c>
      <c r="E21" s="21" t="s">
        <v>61</v>
      </c>
      <c r="F21" s="5"/>
    </row>
    <row r="22" spans="1:8" ht="15.75" x14ac:dyDescent="0.25">
      <c r="A22" s="15">
        <v>3</v>
      </c>
      <c r="B22" s="43"/>
      <c r="C22" s="20" t="s">
        <v>109</v>
      </c>
      <c r="D22" s="21" t="s">
        <v>110</v>
      </c>
      <c r="E22" s="21" t="s">
        <v>111</v>
      </c>
      <c r="F22" s="5"/>
      <c r="G22" s="5"/>
      <c r="H22" s="5"/>
    </row>
    <row r="23" spans="1:8" ht="15.75" x14ac:dyDescent="0.25">
      <c r="A23" s="15">
        <v>4</v>
      </c>
      <c r="B23" s="43"/>
      <c r="C23" s="10" t="s">
        <v>62</v>
      </c>
      <c r="D23" s="21" t="s">
        <v>63</v>
      </c>
      <c r="E23" s="21" t="s">
        <v>64</v>
      </c>
      <c r="F23" s="5"/>
      <c r="G23" s="5"/>
      <c r="H23" s="5"/>
    </row>
    <row r="24" spans="1:8" ht="15.75" x14ac:dyDescent="0.25">
      <c r="A24" s="15">
        <v>1</v>
      </c>
      <c r="B24" s="48" t="s">
        <v>8</v>
      </c>
      <c r="C24" s="54" t="s">
        <v>15</v>
      </c>
      <c r="D24" s="21" t="s">
        <v>65</v>
      </c>
      <c r="E24" s="21" t="s">
        <v>66</v>
      </c>
    </row>
    <row r="25" spans="1:8" ht="15.75" x14ac:dyDescent="0.25">
      <c r="A25" s="15">
        <v>2</v>
      </c>
      <c r="B25" s="48"/>
      <c r="C25" s="54"/>
      <c r="D25" s="21" t="s">
        <v>67</v>
      </c>
      <c r="E25" s="21" t="s">
        <v>68</v>
      </c>
    </row>
    <row r="26" spans="1:8" ht="15.75" x14ac:dyDescent="0.25">
      <c r="A26" s="15">
        <v>3</v>
      </c>
      <c r="B26" s="48"/>
      <c r="C26" s="54"/>
      <c r="D26" s="21" t="s">
        <v>69</v>
      </c>
      <c r="E26" s="21" t="s">
        <v>70</v>
      </c>
    </row>
    <row r="27" spans="1:8" ht="15.75" x14ac:dyDescent="0.25">
      <c r="A27" s="15">
        <v>4</v>
      </c>
      <c r="B27" s="48"/>
      <c r="C27" s="54"/>
      <c r="D27" s="21" t="s">
        <v>71</v>
      </c>
      <c r="E27" s="21" t="s">
        <v>72</v>
      </c>
    </row>
    <row r="28" spans="1:8" ht="15.75" x14ac:dyDescent="0.25">
      <c r="A28" s="15">
        <v>5</v>
      </c>
      <c r="B28" s="48"/>
      <c r="C28" s="54"/>
      <c r="D28" s="21" t="s">
        <v>98</v>
      </c>
      <c r="E28" s="21" t="s">
        <v>99</v>
      </c>
    </row>
    <row r="29" spans="1:8" ht="15.75" x14ac:dyDescent="0.25">
      <c r="A29" s="15">
        <v>6</v>
      </c>
      <c r="B29" s="48"/>
      <c r="C29" s="54"/>
      <c r="D29" s="21" t="s">
        <v>100</v>
      </c>
      <c r="E29" s="21" t="s">
        <v>101</v>
      </c>
    </row>
    <row r="30" spans="1:8" ht="15.75" x14ac:dyDescent="0.25">
      <c r="A30" s="15">
        <v>7</v>
      </c>
      <c r="B30" s="48"/>
      <c r="C30" s="55"/>
      <c r="D30" s="21" t="s">
        <v>73</v>
      </c>
      <c r="E30" s="21" t="s">
        <v>74</v>
      </c>
    </row>
    <row r="31" spans="1:8" ht="15.75" x14ac:dyDescent="0.25">
      <c r="A31" s="15">
        <v>8</v>
      </c>
      <c r="B31" s="48"/>
      <c r="C31" s="11" t="s">
        <v>13</v>
      </c>
      <c r="D31" s="21" t="s">
        <v>75</v>
      </c>
      <c r="E31" s="21" t="s">
        <v>75</v>
      </c>
    </row>
    <row r="32" spans="1:8" ht="15.75" x14ac:dyDescent="0.25">
      <c r="A32" s="15">
        <v>9</v>
      </c>
      <c r="B32" s="48"/>
      <c r="C32" s="12" t="s">
        <v>14</v>
      </c>
      <c r="D32" s="21" t="s">
        <v>76</v>
      </c>
      <c r="E32" s="21" t="s">
        <v>77</v>
      </c>
    </row>
    <row r="33" spans="1:5" ht="15.75" x14ac:dyDescent="0.25">
      <c r="A33" s="15">
        <v>10</v>
      </c>
      <c r="B33" s="49"/>
      <c r="C33" s="10" t="s">
        <v>19</v>
      </c>
      <c r="D33" s="21" t="s">
        <v>78</v>
      </c>
      <c r="E33" s="21" t="s">
        <v>79</v>
      </c>
    </row>
    <row r="34" spans="1:5" x14ac:dyDescent="0.25">
      <c r="A34" s="6">
        <v>1</v>
      </c>
      <c r="B34" s="28" t="s">
        <v>112</v>
      </c>
      <c r="C34" s="19" t="s">
        <v>90</v>
      </c>
      <c r="D34" s="18" t="s">
        <v>80</v>
      </c>
      <c r="E34" s="18" t="s">
        <v>81</v>
      </c>
    </row>
    <row r="35" spans="1:5" x14ac:dyDescent="0.25">
      <c r="A35" s="15">
        <v>1</v>
      </c>
      <c r="B35" s="35" t="s">
        <v>9</v>
      </c>
      <c r="C35" s="17" t="s">
        <v>20</v>
      </c>
      <c r="D35" s="9" t="s">
        <v>113</v>
      </c>
      <c r="E35" s="9" t="s">
        <v>114</v>
      </c>
    </row>
    <row r="36" spans="1:5" ht="15.75" x14ac:dyDescent="0.25">
      <c r="A36" s="15">
        <v>1</v>
      </c>
      <c r="B36" s="56" t="s">
        <v>10</v>
      </c>
      <c r="C36" s="20" t="s">
        <v>115</v>
      </c>
      <c r="D36" s="9" t="s">
        <v>96</v>
      </c>
      <c r="E36" s="9" t="s">
        <v>97</v>
      </c>
    </row>
    <row r="37" spans="1:5" ht="15.75" x14ac:dyDescent="0.25">
      <c r="A37" s="15">
        <v>2</v>
      </c>
      <c r="B37" s="56"/>
      <c r="C37" s="16" t="s">
        <v>21</v>
      </c>
      <c r="D37" s="9" t="s">
        <v>116</v>
      </c>
      <c r="E37" s="9" t="s">
        <v>117</v>
      </c>
    </row>
    <row r="38" spans="1:5" ht="15.75" x14ac:dyDescent="0.25">
      <c r="A38" s="15">
        <v>3</v>
      </c>
      <c r="B38" s="56"/>
      <c r="C38" s="16" t="s">
        <v>21</v>
      </c>
      <c r="D38" s="9" t="s">
        <v>82</v>
      </c>
      <c r="E38" s="9" t="s">
        <v>83</v>
      </c>
    </row>
    <row r="39" spans="1:5" ht="15.75" x14ac:dyDescent="0.25">
      <c r="A39" s="15">
        <v>4</v>
      </c>
      <c r="B39" s="56"/>
      <c r="C39" s="16" t="s">
        <v>21</v>
      </c>
      <c r="D39" s="9" t="s">
        <v>84</v>
      </c>
      <c r="E39" s="9" t="s">
        <v>84</v>
      </c>
    </row>
    <row r="40" spans="1:5" ht="15.75" x14ac:dyDescent="0.25">
      <c r="A40" s="15">
        <v>1</v>
      </c>
      <c r="B40" s="43" t="s">
        <v>11</v>
      </c>
      <c r="C40" s="20" t="s">
        <v>85</v>
      </c>
      <c r="D40" s="21" t="s">
        <v>86</v>
      </c>
      <c r="E40" s="21" t="s">
        <v>87</v>
      </c>
    </row>
    <row r="41" spans="1:5" ht="15.75" x14ac:dyDescent="0.25">
      <c r="A41" s="46">
        <v>2</v>
      </c>
      <c r="B41" s="43"/>
      <c r="C41" s="57" t="s">
        <v>22</v>
      </c>
      <c r="D41" s="58" t="s">
        <v>91</v>
      </c>
      <c r="E41" s="58" t="s">
        <v>92</v>
      </c>
    </row>
    <row r="42" spans="1:5" ht="15.75" x14ac:dyDescent="0.25">
      <c r="A42" s="47"/>
      <c r="B42" s="43"/>
      <c r="C42" s="57"/>
      <c r="D42" s="58"/>
      <c r="E42" s="58"/>
    </row>
    <row r="43" spans="1:5" ht="15.75" x14ac:dyDescent="0.25">
      <c r="A43" s="15">
        <v>3</v>
      </c>
      <c r="B43" s="43"/>
      <c r="C43" s="20" t="s">
        <v>93</v>
      </c>
      <c r="D43" s="22" t="s">
        <v>94</v>
      </c>
      <c r="E43" s="23" t="s">
        <v>95</v>
      </c>
    </row>
    <row r="44" spans="1:5" ht="15.75" x14ac:dyDescent="0.25">
      <c r="A44" s="7">
        <f>COUNT(A4:A43)</f>
        <v>39</v>
      </c>
      <c r="B44" s="53"/>
      <c r="C44" s="53"/>
      <c r="D44" s="53"/>
      <c r="E44" s="53"/>
    </row>
    <row r="45" spans="1:5" x14ac:dyDescent="0.25">
      <c r="B45" s="37"/>
      <c r="C45" s="38"/>
      <c r="D45" s="33"/>
      <c r="E45" s="33"/>
    </row>
    <row r="46" spans="1:5" x14ac:dyDescent="0.25">
      <c r="B46" s="39"/>
      <c r="C46" s="40"/>
    </row>
    <row r="47" spans="1:5" x14ac:dyDescent="0.25">
      <c r="B47" s="39"/>
      <c r="C47" s="40"/>
    </row>
  </sheetData>
  <mergeCells count="16">
    <mergeCell ref="B44:E44"/>
    <mergeCell ref="B24:B33"/>
    <mergeCell ref="C24:C30"/>
    <mergeCell ref="B36:B39"/>
    <mergeCell ref="C41:C42"/>
    <mergeCell ref="D41:D42"/>
    <mergeCell ref="E41:E42"/>
    <mergeCell ref="B40:B43"/>
    <mergeCell ref="A1:E1"/>
    <mergeCell ref="B7:B9"/>
    <mergeCell ref="B12:B13"/>
    <mergeCell ref="B14:B15"/>
    <mergeCell ref="A41:A42"/>
    <mergeCell ref="B16:B19"/>
    <mergeCell ref="C16:C19"/>
    <mergeCell ref="B20:B23"/>
  </mergeCells>
  <pageMargins left="0.23622047244094488" right="0.23622047244094488" top="0.74803149606299213" bottom="0.74803149606299213" header="0.31496062992125984" footer="0.31496062992125984"/>
  <pageSetup paperSize="9" scale="49"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МКДТП</vt:lpstr>
      <vt:lpstr>МКДТП!Область_друку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2022-08-18T06:48:33Z</dcterms:modified>
</cp:coreProperties>
</file>